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35" windowWidth="19410" windowHeight="10950" activeTab="1"/>
  </bookViews>
  <sheets>
    <sheet name="Настройки" sheetId="199" r:id="rId1"/>
    <sheet name="Б_D" sheetId="198" r:id="rId2"/>
    <sheet name="Б_P" sheetId="197" r:id="rId3"/>
    <sheet name="Б_V" sheetId="196" r:id="rId4"/>
    <sheet name="А_P" sheetId="194" r:id="rId5"/>
    <sheet name="А_D" sheetId="195" r:id="rId6"/>
    <sheet name="А_V" sheetId="193" r:id="rId7"/>
    <sheet name="Бланк_тестируемого_№2" sheetId="192" r:id="rId8"/>
    <sheet name="Бланк_тестируемого_№1" sheetId="191" r:id="rId9"/>
    <sheet name="Меню" sheetId="1" r:id="rId10"/>
    <sheet name="Константы" sheetId="190" r:id="rId11"/>
  </sheets>
  <functionGroups builtInGroupCount="17"/>
  <calcPr calcId="145621" refMode="R1C1"/>
</workbook>
</file>

<file path=xl/calcChain.xml><?xml version="1.0" encoding="utf-8"?>
<calcChain xmlns="http://schemas.openxmlformats.org/spreadsheetml/2006/main">
  <c r="D8" i="193" l="1"/>
  <c r="D7" i="193"/>
  <c r="G5" i="193"/>
  <c r="F5" i="193"/>
  <c r="D8" i="194"/>
  <c r="D7" i="194"/>
  <c r="G5" i="194"/>
  <c r="F5" i="194"/>
  <c r="D8" i="195"/>
  <c r="D7" i="195"/>
  <c r="G5" i="195"/>
  <c r="F5" i="195"/>
  <c r="C7" i="193"/>
  <c r="C8" i="193" s="1"/>
  <c r="G4" i="193"/>
  <c r="F4" i="193"/>
  <c r="C7" i="194"/>
  <c r="C8" i="194" s="1"/>
  <c r="G4" i="194"/>
  <c r="F4" i="194"/>
  <c r="C7" i="195"/>
  <c r="C8" i="195" s="1"/>
  <c r="G4" i="195"/>
  <c r="F4" i="195"/>
  <c r="E15" i="193"/>
  <c r="G8" i="193"/>
  <c r="E2" i="193" l="1"/>
  <c r="E3" i="193"/>
  <c r="E4" i="193"/>
  <c r="E5" i="193"/>
  <c r="E4" i="194"/>
  <c r="E2" i="195"/>
  <c r="E3" i="195"/>
  <c r="E4" i="195"/>
  <c r="E5" i="195"/>
  <c r="E2" i="194"/>
  <c r="E3" i="194"/>
  <c r="E5" i="194"/>
</calcChain>
</file>

<file path=xl/sharedStrings.xml><?xml version="1.0" encoding="utf-8"?>
<sst xmlns="http://schemas.openxmlformats.org/spreadsheetml/2006/main" count="88" uniqueCount="42">
  <si>
    <t xml:space="preserve">  </t>
  </si>
  <si>
    <t>∑ стлб.</t>
  </si>
  <si>
    <t>ГОЛ ORD</t>
  </si>
  <si>
    <t>Стены</t>
  </si>
  <si>
    <t>∑ стр.</t>
  </si>
  <si>
    <t>ЛОГ ORD</t>
  </si>
  <si>
    <t>Количество тестируемых</t>
  </si>
  <si>
    <t>№ пп</t>
  </si>
  <si>
    <t>Фамилия И.О.</t>
  </si>
  <si>
    <t>Задание А</t>
  </si>
  <si>
    <t>Задание Б</t>
  </si>
  <si>
    <t>N изображения</t>
  </si>
  <si>
    <t>Индекс</t>
  </si>
  <si>
    <t>ГОЛ OIV</t>
  </si>
  <si>
    <t>ГОЛ OIP</t>
  </si>
  <si>
    <t>ГОЛ OID</t>
  </si>
  <si>
    <t>ЛОГ SIV</t>
  </si>
  <si>
    <t>ЛОГ SIP</t>
  </si>
  <si>
    <t>ЛОГ SID</t>
  </si>
  <si>
    <t>ГОЛ ORV</t>
  </si>
  <si>
    <t>ГОЛ ORP</t>
  </si>
  <si>
    <t>ЛОГ SRP</t>
  </si>
  <si>
    <t>ЛОГ SRD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</si>
  <si>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</si>
  <si>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</si>
  <si>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</si>
  <si>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</si>
  <si>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</si>
  <si>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</si>
  <si>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</si>
  <si>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</si>
  <si>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</si>
  <si>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</si>
  <si>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 Теструемого</t>
  </si>
  <si>
    <t>Фамилии</t>
  </si>
  <si>
    <t>Петров</t>
  </si>
  <si>
    <t>Иванов</t>
  </si>
  <si>
    <t>V</t>
  </si>
  <si>
    <t>P</t>
  </si>
  <si>
    <t>D</t>
  </si>
  <si>
    <t>`</t>
  </si>
  <si>
    <t>Нужно думать!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</si>
</sst>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9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3</xdr:row>
      <xdr:rowOff>95250</xdr:rowOff>
    </xdr:from>
    <xdr:to>
      <xdr:col>7</xdr:col>
      <xdr:colOff>85725</xdr:colOff>
      <xdr:row>10</xdr:row>
      <xdr:rowOff>0</xdr:rowOff>
    </xdr:to>
    <xdr:sp macro="[0]!OpenClick" textlink="">
      <xdr:nvSpPr>
        <xdr:cNvPr id="2" name="Скругленный прямоугольник 1"/>
        <xdr:cNvSpPr/>
      </xdr:nvSpPr>
      <xdr:spPr>
        <a:xfrm>
          <a:off x="1152525" y="66675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Создать</a:t>
          </a:r>
          <a:r>
            <a:rPr lang="ru-RU" sz="2400" baseline="0">
              <a:latin typeface="+mn-lt"/>
            </a:rPr>
            <a:t> расчет </a:t>
          </a:r>
          <a:endParaRPr lang="ru-RU" sz="2400">
            <a:latin typeface="+mn-lt"/>
          </a:endParaRPr>
        </a:p>
      </xdr:txBody>
    </xdr:sp>
    <xdr:clientData/>
  </xdr:twoCellAnchor>
  <xdr:twoCellAnchor>
    <xdr:from>
      <xdr:col>14</xdr:col>
      <xdr:colOff>314325</xdr:colOff>
      <xdr:row>3</xdr:row>
      <xdr:rowOff>114300</xdr:rowOff>
    </xdr:from>
    <xdr:to>
      <xdr:col>19</xdr:col>
      <xdr:colOff>466725</xdr:colOff>
      <xdr:row>10</xdr:row>
      <xdr:rowOff>19050</xdr:rowOff>
    </xdr:to>
    <xdr:sp macro="[0]!DeleteAllSheets" textlink="">
      <xdr:nvSpPr>
        <xdr:cNvPr id="5" name="Скругленный прямоугольник 4"/>
        <xdr:cNvSpPr/>
      </xdr:nvSpPr>
      <xdr:spPr>
        <a:xfrm>
          <a:off x="88487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Удалить все листы</a:t>
          </a:r>
        </a:p>
      </xdr:txBody>
    </xdr:sp>
    <xdr:clientData/>
  </xdr:twoCellAnchor>
  <xdr:twoCellAnchor>
    <xdr:from>
      <xdr:col>12</xdr:col>
      <xdr:colOff>0</xdr:colOff>
      <xdr:row>78</xdr:row>
      <xdr:rowOff>0</xdr:rowOff>
    </xdr:from>
    <xdr:to>
      <xdr:col>13</xdr:col>
      <xdr:colOff>57150</xdr:colOff>
      <xdr:row>81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7315200" y="148590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DataBodyRange</a:t>
          </a:r>
        </a:p>
      </xdr:txBody>
    </xdr:sp>
    <xdr:clientData/>
  </xdr:twoCellAnchor>
  <xdr:twoCellAnchor>
    <xdr:from>
      <xdr:col>8</xdr:col>
      <xdr:colOff>9525</xdr:colOff>
      <xdr:row>3</xdr:row>
      <xdr:rowOff>114300</xdr:rowOff>
    </xdr:from>
    <xdr:to>
      <xdr:col>13</xdr:col>
      <xdr:colOff>161925</xdr:colOff>
      <xdr:row>10</xdr:row>
      <xdr:rowOff>19050</xdr:rowOff>
    </xdr:to>
    <xdr:sp macro="[0]!DataProcess" textlink="">
      <xdr:nvSpPr>
        <xdr:cNvPr id="6" name="Скругленный прямоугольник 5"/>
        <xdr:cNvSpPr/>
      </xdr:nvSpPr>
      <xdr:spPr>
        <a:xfrm>
          <a:off x="48863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Провести 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21</xdr:row>
      <xdr:rowOff>180975</xdr:rowOff>
    </xdr:from>
    <xdr:to>
      <xdr:col>4</xdr:col>
      <xdr:colOff>952500</xdr:colOff>
      <xdr:row>48</xdr:row>
      <xdr:rowOff>45331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181475"/>
          <a:ext cx="4248150" cy="5007856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190500</xdr:colOff>
      <xdr:row>18</xdr:row>
      <xdr:rowOff>47625</xdr:rowOff>
    </xdr:from>
    <xdr:to>
      <xdr:col>20</xdr:col>
      <xdr:colOff>186891</xdr:colOff>
      <xdr:row>44</xdr:row>
      <xdr:rowOff>76200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62850" y="3476625"/>
          <a:ext cx="6749616" cy="4981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9" name="NumberOfTested_tb" displayName="NumberOfTested_tb" ref="A1:A2" totalsRowShown="0">
  <autoFilter ref="A1:A2"/>
  <tableColumns count="1">
    <tableColumn id="1" name="Количество тестируемых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0" name="AvailableNameOfTested_tb" displayName="AvailableNameOfTested_tb" ref="C1:D3" totalsRowShown="0">
  <autoFilter ref="C1:D3"/>
  <tableColumns count="2">
    <tableColumn id="1" name="N Теструемого"/>
    <tableColumn id="2" name="Фамилии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8" name="Б_D_tb" displayName="Б_D_tb" ref="A2:H9" headerRowCount="0" totalsRowShown="0">
  <tableColumns count="8">
    <tableColumn id="1" name="Столбец1"/>
    <tableColumn id="2" name="Столбец2" dataDxfId="8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Б_P_tb" displayName="Б_P_tb" ref="A2:H9" headerRowCount="0" totalsRowShown="0">
  <tableColumns count="8">
    <tableColumn id="1" name="Столбец1"/>
    <tableColumn id="2" name="Столбец2" dataDxfId="7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6" name="Б_V_tb" displayName="Б_V_tb" ref="A2:H9" headerRowCount="0" totalsRowShown="0">
  <tableColumns count="8">
    <tableColumn id="1" name="Столбец1"/>
    <tableColumn id="2" name="Столбец2" dataDxfId="6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" name="А_P_tb" displayName="А_P_tb" ref="A2:I9" headerRowCount="0" totalsRowShown="0">
  <tableColumns count="9">
    <tableColumn id="1" name="Столбец1"/>
    <tableColumn id="2" name="Столбец2" dataDxfId="3"/>
    <tableColumn id="3" name="Столбец3"/>
    <tableColumn id="4" name="Столбец4"/>
    <tableColumn id="5" name="Столбец5" dataDxfId="2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5" name="А_D_tb" displayName="А_D_tb" ref="A2:I9" headerRowCount="0" totalsRowShown="0">
  <tableColumns count="9">
    <tableColumn id="1" name="Столбец1"/>
    <tableColumn id="2" name="Столбец2" dataDxfId="5"/>
    <tableColumn id="3" name="Столбец3"/>
    <tableColumn id="4" name="Столбец4"/>
    <tableColumn id="5" name="Столбец5" dataDxfId="4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3" name="А_V_tb" displayName="А_V_tb" ref="A2:I9" headerRowCount="0" totalsRowShown="0">
  <tableColumns count="9">
    <tableColumn id="1" name="Столбец1"/>
    <tableColumn id="2" name="Столбец2" dataDxfId="1"/>
    <tableColumn id="3" name="Столбец3"/>
    <tableColumn id="4" name="Столбец4"/>
    <tableColumn id="5" name="Столбец5" dataDxfId="0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2" name="Бланк_тестируемого_№2_tb" displayName="Бланк_тестируемого_№2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1" name="Бланк_тестируемого_№1_tb" displayName="Бланк_тестируемого_№1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25" name="transcoding_tb" displayName="transcoding_tb" ref="B2:E20" totalsRowShown="0">
  <autoFilter ref="B2:E20"/>
  <tableColumns count="4">
    <tableColumn id="1" name="N изображения"/>
    <tableColumn id="2" name="V"/>
    <tableColumn id="3" name="P"/>
    <tableColumn id="4" name="D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26" name="stens_tb" displayName="stens_tb" ref="J2:T14" totalsRowShown="0">
  <autoFilter ref="J2:T14"/>
  <tableColumns count="11">
    <tableColumn id="1" name="Индекс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3"/>
  <sheetViews>
    <sheetView workbookViewId="0">
      <selection activeCell="E24" sqref="E24"/>
    </sheetView>
  </sheetViews>
  <sheetFormatPr defaultRowHeight="15" x14ac:dyDescent="0.25"/>
  <cols>
    <col min="1" max="1" width="26.42578125" customWidth="1"/>
    <col min="3" max="3" width="16.7109375" customWidth="1"/>
    <col min="4" max="4" width="11.85546875" customWidth="1"/>
  </cols>
  <sheetData>
    <row r="1" spans="1:4" x14ac:dyDescent="0.25">
      <c r="A1" t="s">
        <v>6</v>
      </c>
      <c r="C1" t="s">
        <v>33</v>
      </c>
      <c r="D1" t="s">
        <v>34</v>
      </c>
    </row>
    <row r="2" spans="1:4" x14ac:dyDescent="0.25">
      <c r="A2">
        <v>2</v>
      </c>
      <c r="C2">
        <v>1</v>
      </c>
      <c r="D2" t="s">
        <v>36</v>
      </c>
    </row>
    <row r="3" spans="1:4" x14ac:dyDescent="0.25">
      <c r="C3">
        <v>2</v>
      </c>
      <c r="D3" t="s">
        <v>35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3:H9"/>
  <sheetViews>
    <sheetView tabSelected="1" workbookViewId="0">
      <selection activeCell="C29" sqref="C29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H16"/>
  <sheetViews>
    <sheetView workbookViewId="0">
      <selection activeCell="C6" sqref="C6:E9"/>
    </sheetView>
  </sheetViews>
  <sheetFormatPr defaultRowHeight="15" x14ac:dyDescent="0.25"/>
  <cols>
    <col min="1" max="8" width="11.85546875" customWidth="1"/>
  </cols>
  <sheetData>
    <row r="2" spans="2:8" x14ac:dyDescent="0.25">
      <c r="E2">
        <f t="shared" ref="E2:E9" si="0">1+1</f>
        <v>2</v>
      </c>
    </row>
    <row r="3" spans="2:8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  <c r="C4">
        <v>-1</v>
      </c>
      <c r="D4">
        <v>-1</v>
      </c>
      <c r="E4">
        <f>1+1</f>
        <v>2</v>
      </c>
      <c r="F4">
        <f>SUM(А_P_tb[[#This Row],[Столбец3]:[Столбец4]])</f>
        <v>-2</v>
      </c>
      <c r="G4">
        <f>А_P_tb[[#This Row],[Столбец4]]*100/1</f>
        <v>-100</v>
      </c>
      <c r="H4" t="s">
        <v>41</v>
      </c>
    </row>
    <row r="5" spans="2:8" x14ac:dyDescent="0.25">
      <c r="B5" s="1">
        <v>2</v>
      </c>
      <c r="C5">
        <v>-1</v>
      </c>
      <c r="D5">
        <v>-1</v>
      </c>
      <c r="E5">
        <f t="shared" si="0"/>
        <v>2</v>
      </c>
      <c r="F5">
        <f>SUM(А_P_tb[[#This Row],[Столбец3]:[Столбец4]])</f>
        <v>-2</v>
      </c>
      <c r="G5">
        <f>А_P_tb[[#This Row],[Столбец4]]*100/1</f>
        <v>-100</v>
      </c>
      <c r="H5" t="s">
        <v>41</v>
      </c>
    </row>
    <row r="6" spans="2:8" x14ac:dyDescent="0.25">
      <c r="C6">
        <v>51</v>
      </c>
    </row>
    <row r="7" spans="2:8" x14ac:dyDescent="0.25">
      <c r="B7" s="1" t="s">
        <v>1</v>
      </c>
      <c r="C7">
        <f>SUM(C4:C5)</f>
        <v>-2</v>
      </c>
      <c r="D7">
        <f>SUM(D4:D5)</f>
        <v>-2</v>
      </c>
    </row>
    <row r="8" spans="2:8" x14ac:dyDescent="0.25">
      <c r="B8" s="1" t="s">
        <v>2</v>
      </c>
      <c r="C8">
        <f>C7*100/1</f>
        <v>-200</v>
      </c>
      <c r="D8">
        <f>D7*100/1</f>
        <v>-200</v>
      </c>
    </row>
    <row r="9" spans="2:8" x14ac:dyDescent="0.25">
      <c r="B9" s="1" t="s">
        <v>3</v>
      </c>
    </row>
    <row r="16" spans="2:8" x14ac:dyDescent="0.25">
      <c r="H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2:H9"/>
  <sheetViews>
    <sheetView workbookViewId="0">
      <selection activeCell="C9" sqref="C9"/>
    </sheetView>
  </sheetViews>
  <sheetFormatPr defaultRowHeight="15" x14ac:dyDescent="0.25"/>
  <cols>
    <col min="1" max="8" width="11.85546875" customWidth="1"/>
  </cols>
  <sheetData>
    <row r="2" spans="2:8" x14ac:dyDescent="0.25">
      <c r="E2">
        <f t="shared" ref="E2:E9" si="0">1+1</f>
        <v>2</v>
      </c>
    </row>
    <row r="3" spans="2:8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  <c r="C4">
        <v>1</v>
      </c>
      <c r="D4">
        <v>1</v>
      </c>
      <c r="E4">
        <f t="shared" si="0"/>
        <v>2</v>
      </c>
      <c r="F4">
        <f>SUM(А_D_tb[[#This Row],[Столбец3]:[Столбец4]])</f>
        <v>2</v>
      </c>
      <c r="G4">
        <f>А_D_tb[[#This Row],[Столбец4]]*100/1</f>
        <v>100</v>
      </c>
      <c r="H4" t="s">
        <v>41</v>
      </c>
    </row>
    <row r="5" spans="2:8" x14ac:dyDescent="0.25">
      <c r="B5" s="1">
        <v>2</v>
      </c>
      <c r="C5">
        <v>-1</v>
      </c>
      <c r="D5">
        <v>-1</v>
      </c>
      <c r="E5">
        <f t="shared" si="0"/>
        <v>2</v>
      </c>
      <c r="F5">
        <f>SUM(А_D_tb[[#This Row],[Столбец3]:[Столбец4]])</f>
        <v>-2</v>
      </c>
      <c r="G5">
        <f>А_D_tb[[#This Row],[Столбец4]]*100/1</f>
        <v>-100</v>
      </c>
      <c r="H5" t="s">
        <v>41</v>
      </c>
    </row>
    <row r="6" spans="2:8" x14ac:dyDescent="0.25">
      <c r="C6">
        <v>51</v>
      </c>
    </row>
    <row r="7" spans="2:8" x14ac:dyDescent="0.25">
      <c r="B7" s="1" t="s">
        <v>1</v>
      </c>
      <c r="C7">
        <f>SUM(C4:C5)</f>
        <v>0</v>
      </c>
      <c r="D7">
        <f>SUM(D4:D5)</f>
        <v>0</v>
      </c>
    </row>
    <row r="8" spans="2:8" x14ac:dyDescent="0.25">
      <c r="B8" s="1" t="s">
        <v>2</v>
      </c>
      <c r="C8">
        <f>C7*100/1</f>
        <v>0</v>
      </c>
      <c r="D8">
        <f>D7*100/1</f>
        <v>0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H15"/>
  <sheetViews>
    <sheetView workbookViewId="0">
      <selection activeCell="B29" sqref="B29"/>
    </sheetView>
  </sheetViews>
  <sheetFormatPr defaultRowHeight="15" x14ac:dyDescent="0.25"/>
  <cols>
    <col min="1" max="8" width="11.85546875" customWidth="1"/>
  </cols>
  <sheetData>
    <row r="2" spans="2:8" x14ac:dyDescent="0.25">
      <c r="E2">
        <f t="shared" ref="E2:E9" si="0">1+1</f>
        <v>2</v>
      </c>
    </row>
    <row r="3" spans="2:8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  <c r="C4">
        <v>1</v>
      </c>
      <c r="D4">
        <v>0</v>
      </c>
      <c r="E4">
        <f t="shared" si="0"/>
        <v>2</v>
      </c>
      <c r="F4">
        <f>SUM(А_V_tb[[#This Row],[Столбец3]:[Столбец4]])</f>
        <v>1</v>
      </c>
      <c r="G4">
        <f>А_V_tb[[#This Row],[Столбец4]]*100/1</f>
        <v>0</v>
      </c>
      <c r="H4" t="s">
        <v>41</v>
      </c>
    </row>
    <row r="5" spans="2:8" x14ac:dyDescent="0.25">
      <c r="B5" s="1">
        <v>2</v>
      </c>
      <c r="C5">
        <v>1</v>
      </c>
      <c r="D5">
        <v>0</v>
      </c>
      <c r="E5">
        <f t="shared" si="0"/>
        <v>2</v>
      </c>
      <c r="F5">
        <f>SUM(А_V_tb[[#This Row],[Столбец3]:[Столбец4]])</f>
        <v>1</v>
      </c>
      <c r="G5">
        <f>А_V_tb[[#This Row],[Столбец4]]*100/1</f>
        <v>0</v>
      </c>
      <c r="H5" t="s">
        <v>41</v>
      </c>
    </row>
    <row r="6" spans="2:8" x14ac:dyDescent="0.25">
      <c r="C6">
        <v>51</v>
      </c>
    </row>
    <row r="7" spans="2:8" x14ac:dyDescent="0.25">
      <c r="B7" s="1" t="s">
        <v>1</v>
      </c>
      <c r="C7">
        <f>SUM(C4:C5)</f>
        <v>2</v>
      </c>
      <c r="D7">
        <f>SUM(D4:D5)</f>
        <v>0</v>
      </c>
    </row>
    <row r="8" spans="2:8" x14ac:dyDescent="0.25">
      <c r="B8" s="1" t="s">
        <v>2</v>
      </c>
      <c r="C8">
        <f>C7*100/1</f>
        <v>200</v>
      </c>
      <c r="D8">
        <f>D7*100/1</f>
        <v>0</v>
      </c>
      <c r="G8" t="e">
        <f>D3:D5</f>
        <v>#VALUE!</v>
      </c>
    </row>
    <row r="9" spans="2:8" x14ac:dyDescent="0.25">
      <c r="B9" s="1" t="s">
        <v>3</v>
      </c>
    </row>
    <row r="15" spans="2:8" x14ac:dyDescent="0.25">
      <c r="E15">
        <f>SUM(RC11,RC22)</f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3"/>
  <sheetViews>
    <sheetView workbookViewId="0">
      <selection activeCell="C16" sqref="C16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36</v>
      </c>
      <c r="C2">
        <v>2</v>
      </c>
      <c r="D2">
        <v>12</v>
      </c>
    </row>
    <row r="3" spans="1:4" x14ac:dyDescent="0.25">
      <c r="A3">
        <v>2</v>
      </c>
      <c r="B3" t="s">
        <v>35</v>
      </c>
      <c r="C3">
        <v>4</v>
      </c>
      <c r="D3">
        <v>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6"/>
  <sheetViews>
    <sheetView workbookViewId="0">
      <selection activeCell="B2" sqref="B2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36</v>
      </c>
      <c r="C2">
        <v>1</v>
      </c>
      <c r="D2">
        <v>15</v>
      </c>
    </row>
    <row r="3" spans="1:4" x14ac:dyDescent="0.25">
      <c r="A3">
        <v>2</v>
      </c>
      <c r="B3" t="s">
        <v>35</v>
      </c>
      <c r="C3">
        <v>3</v>
      </c>
      <c r="D3">
        <v>4</v>
      </c>
    </row>
    <row r="16" spans="1:4" x14ac:dyDescent="0.25">
      <c r="C16">
        <v>-1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H17"/>
  <sheetViews>
    <sheetView workbookViewId="0">
      <selection activeCell="F30" sqref="F30"/>
    </sheetView>
  </sheetViews>
  <sheetFormatPr defaultRowHeight="15" x14ac:dyDescent="0.25"/>
  <sheetData>
    <row r="17" spans="8:8" x14ac:dyDescent="0.25">
      <c r="H17" t="s"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B2:T20"/>
  <sheetViews>
    <sheetView workbookViewId="0">
      <selection activeCell="F20" sqref="F20"/>
    </sheetView>
  </sheetViews>
  <sheetFormatPr defaultRowHeight="15" x14ac:dyDescent="0.25"/>
  <cols>
    <col min="2" max="2" width="17.28515625" customWidth="1"/>
    <col min="3" max="3" width="17.7109375" customWidth="1"/>
    <col min="4" max="4" width="13.85546875" customWidth="1"/>
    <col min="5" max="5" width="16" customWidth="1"/>
    <col min="10" max="10" width="9.85546875" customWidth="1"/>
  </cols>
  <sheetData>
    <row r="2" spans="2:20" x14ac:dyDescent="0.25">
      <c r="B2" t="s">
        <v>11</v>
      </c>
      <c r="C2" t="s">
        <v>37</v>
      </c>
      <c r="D2" t="s">
        <v>38</v>
      </c>
      <c r="E2" t="s">
        <v>39</v>
      </c>
      <c r="J2" t="s">
        <v>12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</row>
    <row r="3" spans="2:20" x14ac:dyDescent="0.25">
      <c r="B3">
        <v>1</v>
      </c>
      <c r="C3">
        <v>1</v>
      </c>
      <c r="D3">
        <v>-1</v>
      </c>
      <c r="E3">
        <v>1</v>
      </c>
      <c r="J3" t="s">
        <v>13</v>
      </c>
      <c r="K3">
        <v>-45.8</v>
      </c>
      <c r="L3">
        <v>-45.7</v>
      </c>
      <c r="M3">
        <v>-19.899999999999999</v>
      </c>
      <c r="N3">
        <v>0.1</v>
      </c>
      <c r="O3">
        <v>13.4</v>
      </c>
      <c r="P3">
        <v>32.4</v>
      </c>
      <c r="Q3">
        <v>44.1</v>
      </c>
      <c r="R3">
        <v>60.1</v>
      </c>
      <c r="S3">
        <v>76.099999999999994</v>
      </c>
      <c r="T3">
        <v>83.4</v>
      </c>
    </row>
    <row r="4" spans="2:20" x14ac:dyDescent="0.25">
      <c r="B4">
        <v>2</v>
      </c>
      <c r="C4">
        <v>1</v>
      </c>
      <c r="D4">
        <v>-1</v>
      </c>
      <c r="E4">
        <v>-1</v>
      </c>
      <c r="J4" t="s">
        <v>14</v>
      </c>
      <c r="K4">
        <v>-58.3</v>
      </c>
      <c r="L4">
        <v>-58.2</v>
      </c>
      <c r="M4">
        <v>-45.7</v>
      </c>
      <c r="N4">
        <v>-35.9</v>
      </c>
      <c r="O4">
        <v>-23.9</v>
      </c>
      <c r="P4">
        <v>-16.600000000000001</v>
      </c>
      <c r="Q4">
        <v>-7.9</v>
      </c>
      <c r="R4">
        <v>0.1</v>
      </c>
      <c r="S4">
        <v>6.8</v>
      </c>
      <c r="T4">
        <v>40.1</v>
      </c>
    </row>
    <row r="5" spans="2:20" x14ac:dyDescent="0.25">
      <c r="B5">
        <v>3</v>
      </c>
      <c r="C5">
        <v>0</v>
      </c>
      <c r="D5">
        <v>-1</v>
      </c>
      <c r="E5">
        <v>1</v>
      </c>
      <c r="J5" t="s">
        <v>15</v>
      </c>
      <c r="K5">
        <v>-75</v>
      </c>
      <c r="L5">
        <v>-74.900000000000006</v>
      </c>
      <c r="M5">
        <v>-59.9</v>
      </c>
      <c r="N5">
        <v>-47.7</v>
      </c>
      <c r="O5">
        <v>-33.200000000000003</v>
      </c>
      <c r="P5">
        <v>-16.600000000000001</v>
      </c>
      <c r="Q5">
        <v>0.1</v>
      </c>
      <c r="R5">
        <v>12.1</v>
      </c>
      <c r="S5">
        <v>30.1</v>
      </c>
      <c r="T5">
        <v>52.1</v>
      </c>
    </row>
    <row r="6" spans="2:20" x14ac:dyDescent="0.25">
      <c r="B6">
        <v>4</v>
      </c>
      <c r="C6">
        <v>0</v>
      </c>
      <c r="D6">
        <v>-1</v>
      </c>
      <c r="E6">
        <v>-1</v>
      </c>
      <c r="J6" t="s">
        <v>16</v>
      </c>
      <c r="K6">
        <v>-16.100000000000001</v>
      </c>
      <c r="L6">
        <v>-16</v>
      </c>
      <c r="M6">
        <v>-6.4</v>
      </c>
      <c r="N6">
        <v>6.6</v>
      </c>
      <c r="O6">
        <v>17.5</v>
      </c>
      <c r="P6">
        <v>28.6</v>
      </c>
      <c r="Q6">
        <v>38.799999999999997</v>
      </c>
      <c r="R6">
        <v>48.5</v>
      </c>
      <c r="S6">
        <v>69.7</v>
      </c>
      <c r="T6">
        <v>78.400000000000006</v>
      </c>
    </row>
    <row r="7" spans="2:20" x14ac:dyDescent="0.25">
      <c r="B7">
        <v>5</v>
      </c>
      <c r="C7">
        <v>-1</v>
      </c>
      <c r="D7">
        <v>-1</v>
      </c>
      <c r="E7">
        <v>1</v>
      </c>
      <c r="J7" t="s">
        <v>17</v>
      </c>
      <c r="K7">
        <v>-98.5</v>
      </c>
      <c r="L7">
        <v>-98.4</v>
      </c>
      <c r="M7">
        <v>-61.2</v>
      </c>
      <c r="N7">
        <v>-39</v>
      </c>
      <c r="O7">
        <v>-19.899999999999999</v>
      </c>
      <c r="P7">
        <v>-9.1</v>
      </c>
      <c r="Q7">
        <v>0.1</v>
      </c>
      <c r="R7">
        <v>3.9</v>
      </c>
      <c r="S7">
        <v>8.1</v>
      </c>
      <c r="T7">
        <v>13.1</v>
      </c>
    </row>
    <row r="8" spans="2:20" x14ac:dyDescent="0.25">
      <c r="B8">
        <v>6</v>
      </c>
      <c r="C8">
        <v>-1</v>
      </c>
      <c r="D8">
        <v>-1</v>
      </c>
      <c r="E8">
        <v>-1</v>
      </c>
      <c r="J8" t="s">
        <v>18</v>
      </c>
      <c r="K8">
        <v>-82.6</v>
      </c>
      <c r="L8">
        <v>-82.5</v>
      </c>
      <c r="M8">
        <v>-67.900000000000006</v>
      </c>
      <c r="N8">
        <v>-53.7</v>
      </c>
      <c r="O8">
        <v>-38.4</v>
      </c>
      <c r="P8">
        <v>-16</v>
      </c>
      <c r="Q8">
        <v>0.1</v>
      </c>
      <c r="R8">
        <v>21.8</v>
      </c>
      <c r="S8">
        <v>52.1</v>
      </c>
      <c r="T8">
        <v>91.4</v>
      </c>
    </row>
    <row r="9" spans="2:20" x14ac:dyDescent="0.25">
      <c r="B9">
        <v>7</v>
      </c>
      <c r="C9">
        <v>1</v>
      </c>
      <c r="D9">
        <v>0</v>
      </c>
      <c r="E9">
        <v>1</v>
      </c>
      <c r="J9" t="s">
        <v>19</v>
      </c>
      <c r="K9">
        <v>0</v>
      </c>
      <c r="L9">
        <v>0.1</v>
      </c>
      <c r="M9">
        <v>4.0999999999999996</v>
      </c>
      <c r="N9">
        <v>16.100000000000001</v>
      </c>
      <c r="O9">
        <v>23.4</v>
      </c>
      <c r="P9">
        <v>33.4</v>
      </c>
      <c r="Q9">
        <v>40.1</v>
      </c>
      <c r="R9">
        <v>47.9</v>
      </c>
      <c r="S9">
        <v>56.1</v>
      </c>
      <c r="T9">
        <v>60.9</v>
      </c>
    </row>
    <row r="10" spans="2:20" x14ac:dyDescent="0.25">
      <c r="B10">
        <v>8</v>
      </c>
      <c r="C10">
        <v>1</v>
      </c>
      <c r="D10">
        <v>0</v>
      </c>
      <c r="E10">
        <v>-1</v>
      </c>
      <c r="J10" t="s">
        <v>20</v>
      </c>
      <c r="K10">
        <v>-50</v>
      </c>
      <c r="L10">
        <v>-49.9</v>
      </c>
      <c r="M10">
        <v>-37.4</v>
      </c>
      <c r="N10">
        <v>-16.600000000000001</v>
      </c>
      <c r="O10">
        <v>-7.9</v>
      </c>
      <c r="P10">
        <v>0.1</v>
      </c>
      <c r="Q10">
        <v>3.4</v>
      </c>
      <c r="R10">
        <v>4.4000000000000004</v>
      </c>
      <c r="S10">
        <v>12.6</v>
      </c>
      <c r="T10">
        <v>20.9</v>
      </c>
    </row>
    <row r="11" spans="2:20" x14ac:dyDescent="0.25">
      <c r="B11">
        <v>9</v>
      </c>
      <c r="C11">
        <v>0</v>
      </c>
      <c r="D11">
        <v>0</v>
      </c>
      <c r="E11">
        <v>-1</v>
      </c>
      <c r="J11" t="s">
        <v>2</v>
      </c>
      <c r="K11">
        <v>-75</v>
      </c>
      <c r="L11">
        <v>-74.900000000000006</v>
      </c>
      <c r="M11">
        <v>-59.9</v>
      </c>
      <c r="N11">
        <v>-47.7</v>
      </c>
      <c r="O11">
        <v>-39</v>
      </c>
      <c r="P11">
        <v>-27.9</v>
      </c>
      <c r="Q11">
        <v>-16.600000000000001</v>
      </c>
      <c r="R11">
        <v>0.1</v>
      </c>
      <c r="S11">
        <v>13.4</v>
      </c>
      <c r="T11">
        <v>30.5</v>
      </c>
    </row>
    <row r="12" spans="2:20" x14ac:dyDescent="0.25">
      <c r="B12">
        <v>10</v>
      </c>
      <c r="C12">
        <v>0</v>
      </c>
      <c r="D12">
        <v>0</v>
      </c>
      <c r="E12">
        <v>-1</v>
      </c>
      <c r="J12" t="s">
        <v>5</v>
      </c>
      <c r="K12">
        <v>-16</v>
      </c>
      <c r="L12">
        <v>-15.9</v>
      </c>
      <c r="M12">
        <v>-7.6</v>
      </c>
      <c r="N12">
        <v>4.4000000000000004</v>
      </c>
      <c r="O12">
        <v>19.3</v>
      </c>
      <c r="P12">
        <v>31.5</v>
      </c>
      <c r="Q12">
        <v>42.4</v>
      </c>
      <c r="R12">
        <v>56.6</v>
      </c>
      <c r="S12">
        <v>71</v>
      </c>
      <c r="T12">
        <v>84.7</v>
      </c>
    </row>
    <row r="13" spans="2:20" x14ac:dyDescent="0.25">
      <c r="B13">
        <v>11</v>
      </c>
      <c r="C13">
        <v>-1</v>
      </c>
      <c r="D13">
        <v>0</v>
      </c>
      <c r="E13">
        <v>1</v>
      </c>
      <c r="J13" t="s">
        <v>21</v>
      </c>
      <c r="K13">
        <v>-53.8</v>
      </c>
      <c r="L13">
        <v>-53.7</v>
      </c>
      <c r="M13">
        <v>-23.9</v>
      </c>
      <c r="N13">
        <v>-17.3</v>
      </c>
      <c r="O13">
        <v>-11.9</v>
      </c>
      <c r="P13">
        <v>-4.2</v>
      </c>
      <c r="Q13">
        <v>0.1</v>
      </c>
      <c r="R13">
        <v>3.3</v>
      </c>
      <c r="S13">
        <v>16.2</v>
      </c>
      <c r="T13">
        <v>56.1</v>
      </c>
    </row>
    <row r="14" spans="2:20" x14ac:dyDescent="0.25">
      <c r="B14">
        <v>12</v>
      </c>
      <c r="C14">
        <v>-1</v>
      </c>
      <c r="D14">
        <v>0</v>
      </c>
      <c r="E14">
        <v>-1</v>
      </c>
      <c r="J14" t="s">
        <v>22</v>
      </c>
      <c r="K14">
        <v>-92</v>
      </c>
      <c r="L14">
        <v>-91.9</v>
      </c>
      <c r="M14">
        <v>-80.5</v>
      </c>
      <c r="N14">
        <v>-69.099999999999994</v>
      </c>
      <c r="O14">
        <v>-56.4</v>
      </c>
      <c r="P14">
        <v>-30.3</v>
      </c>
      <c r="Q14">
        <v>-7.6</v>
      </c>
      <c r="R14">
        <v>15.5</v>
      </c>
      <c r="S14">
        <v>52.1</v>
      </c>
      <c r="T14">
        <v>91.4</v>
      </c>
    </row>
    <row r="15" spans="2:20" x14ac:dyDescent="0.25">
      <c r="B15">
        <v>13</v>
      </c>
      <c r="C15">
        <v>1</v>
      </c>
      <c r="D15">
        <v>1</v>
      </c>
      <c r="E15">
        <v>1</v>
      </c>
    </row>
    <row r="16" spans="2:20" x14ac:dyDescent="0.25">
      <c r="B16">
        <v>14</v>
      </c>
      <c r="C16">
        <v>1</v>
      </c>
      <c r="D16">
        <v>1</v>
      </c>
      <c r="E16">
        <v>-1</v>
      </c>
    </row>
    <row r="17" spans="2:5" x14ac:dyDescent="0.25">
      <c r="B17">
        <v>15</v>
      </c>
      <c r="C17">
        <v>0</v>
      </c>
      <c r="D17">
        <v>1</v>
      </c>
      <c r="E17">
        <v>1</v>
      </c>
    </row>
    <row r="18" spans="2:5" x14ac:dyDescent="0.25">
      <c r="B18">
        <v>16</v>
      </c>
      <c r="C18">
        <v>0</v>
      </c>
      <c r="D18">
        <v>1</v>
      </c>
      <c r="E18">
        <v>-1</v>
      </c>
    </row>
    <row r="19" spans="2:5" x14ac:dyDescent="0.25">
      <c r="B19">
        <v>17</v>
      </c>
      <c r="C19">
        <v>-1</v>
      </c>
      <c r="D19">
        <v>1</v>
      </c>
      <c r="E19">
        <v>1</v>
      </c>
    </row>
    <row r="20" spans="2:5" x14ac:dyDescent="0.25">
      <c r="B20">
        <v>18</v>
      </c>
      <c r="C20">
        <v>-1</v>
      </c>
      <c r="D20">
        <v>1</v>
      </c>
      <c r="E20">
        <v>-1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Настройки</vt:lpstr>
      <vt:lpstr>Б_D</vt:lpstr>
      <vt:lpstr>Б_P</vt:lpstr>
      <vt:lpstr>Б_V</vt:lpstr>
      <vt:lpstr>А_P</vt:lpstr>
      <vt:lpstr>А_D</vt:lpstr>
      <vt:lpstr>А_V</vt:lpstr>
      <vt:lpstr>Бланк_тестируемого_№2</vt:lpstr>
      <vt:lpstr>Бланк_тестируемого_№1</vt:lpstr>
      <vt:lpstr>Меню</vt:lpstr>
      <vt:lpstr>Константы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шаповалов</dc:creator>
  <cp:lastModifiedBy>иван шаповалов</cp:lastModifiedBy>
  <dcterms:created xsi:type="dcterms:W3CDTF">2023-08-26T05:23:35Z</dcterms:created>
  <dcterms:modified xsi:type="dcterms:W3CDTF">2023-08-29T15:32:27Z</dcterms:modified>
</cp:coreProperties>
</file>